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0" documentId="13_ncr:1_{ED76566E-8DE0-4945-9701-9F81A110D4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F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I53" i="1"/>
  <c r="I65" i="1"/>
  <c r="G53" i="1"/>
  <c r="G65" i="1"/>
  <c r="H53" i="1"/>
  <c r="H65" i="1"/>
  <c r="G47" i="1"/>
  <c r="H47" i="1"/>
  <c r="I47" i="1"/>
  <c r="H46" i="1"/>
  <c r="G46" i="1"/>
  <c r="I46" i="1"/>
  <c r="G39" i="1"/>
  <c r="H39" i="1"/>
  <c r="I39" i="1"/>
  <c r="G40" i="1"/>
  <c r="H40" i="1"/>
  <c r="I40" i="1"/>
  <c r="I38" i="1"/>
  <c r="H38" i="1"/>
  <c r="G38" i="1"/>
  <c r="H32" i="1"/>
  <c r="I32" i="1"/>
  <c r="H33" i="1"/>
  <c r="I33" i="1"/>
  <c r="I31" i="1"/>
  <c r="H31" i="1"/>
  <c r="G33" i="1"/>
  <c r="G32" i="1"/>
  <c r="G31" i="1"/>
  <c r="I17" i="1"/>
  <c r="H17" i="1"/>
  <c r="G17" i="1"/>
  <c r="G16" i="1"/>
  <c r="H16" i="1"/>
  <c r="I16" i="1"/>
  <c r="I15" i="1"/>
  <c r="H15" i="1"/>
  <c r="G15" i="1"/>
  <c r="G8" i="1"/>
  <c r="H8" i="1"/>
  <c r="I8" i="1"/>
  <c r="G9" i="1"/>
  <c r="H9" i="1"/>
  <c r="I9" i="1"/>
  <c r="G10" i="1"/>
  <c r="H10" i="1"/>
  <c r="I10" i="1"/>
  <c r="I7" i="1"/>
  <c r="H7" i="1"/>
  <c r="G7" i="1"/>
  <c r="G23" i="1"/>
  <c r="H23" i="1"/>
  <c r="I23" i="1"/>
  <c r="I22" i="1"/>
  <c r="H22" i="1"/>
  <c r="G22" i="1"/>
  <c r="I18" i="1"/>
  <c r="H18" i="1"/>
  <c r="G18" i="1"/>
  <c r="G14" i="1"/>
  <c r="G13" i="1"/>
  <c r="H14" i="1"/>
  <c r="H13" i="1"/>
  <c r="I14" i="1"/>
  <c r="I1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37" i="1"/>
  <c r="H37" i="1"/>
  <c r="G37" i="1"/>
  <c r="I36" i="1"/>
  <c r="H36" i="1"/>
  <c r="G36" i="1"/>
  <c r="I35" i="1"/>
  <c r="H35" i="1"/>
  <c r="G35" i="1"/>
  <c r="I34" i="1"/>
  <c r="H34" i="1"/>
  <c r="G34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1" i="1"/>
  <c r="H21" i="1"/>
  <c r="G21" i="1"/>
  <c r="I20" i="1"/>
  <c r="H20" i="1"/>
  <c r="G20" i="1"/>
  <c r="I19" i="1"/>
  <c r="H19" i="1"/>
  <c r="G19" i="1"/>
  <c r="I12" i="1"/>
  <c r="H12" i="1"/>
  <c r="G12" i="1"/>
  <c r="I11" i="1"/>
  <c r="H11" i="1"/>
  <c r="G11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<sst xmlns="http://schemas.openxmlformats.org/spreadsheetml/2006/main" count="93" uniqueCount="92">
  <si>
    <t>Category</t>
  </si>
  <si>
    <t>Requirement</t>
  </si>
  <si>
    <t>Importance</t>
  </si>
  <si>
    <t>Vendor A</t>
  </si>
  <si>
    <t>Vendor B</t>
  </si>
  <si>
    <t>Vendor C</t>
  </si>
  <si>
    <t>Platform Compatibility</t>
  </si>
  <si>
    <t>Works with AWS</t>
  </si>
  <si>
    <t>Works with Azure</t>
  </si>
  <si>
    <t>Works with GCP</t>
  </si>
  <si>
    <t>Works with K8s/OpenShift</t>
  </si>
  <si>
    <t>Integrations</t>
  </si>
  <si>
    <t>Audit Trail</t>
  </si>
  <si>
    <t>Notification: Email</t>
  </si>
  <si>
    <t>TOTAL</t>
  </si>
  <si>
    <t>Built in responses</t>
  </si>
  <si>
    <t>Allows for custom repsonse</t>
  </si>
  <si>
    <t>Ability to revert responses</t>
  </si>
  <si>
    <t>Robust logging for responses</t>
  </si>
  <si>
    <t>Ability to add metadata to cloud resources after response is taken</t>
  </si>
  <si>
    <t>Ability to have an apporval workflow for responses</t>
  </si>
  <si>
    <t>AWS Responses</t>
  </si>
  <si>
    <t>GCP Responses</t>
  </si>
  <si>
    <t>Azure Responses</t>
  </si>
  <si>
    <t>Detection</t>
  </si>
  <si>
    <t>Response</t>
  </si>
  <si>
    <t>Forensics</t>
  </si>
  <si>
    <t>Built in detections</t>
  </si>
  <si>
    <t>Custom detections</t>
  </si>
  <si>
    <t>Enrichment via threat intel</t>
  </si>
  <si>
    <t>Send detections to 3rd party tools</t>
  </si>
  <si>
    <t>Enrichment via 3rd party tools</t>
  </si>
  <si>
    <t>Severity logic</t>
  </si>
  <si>
    <t>MITRE Mapping</t>
  </si>
  <si>
    <t>Agentless based artifact collection</t>
  </si>
  <si>
    <t>Support for compute</t>
  </si>
  <si>
    <t>Support for serverless</t>
  </si>
  <si>
    <t>Support for managed k8s</t>
  </si>
  <si>
    <t>Support for data stores</t>
  </si>
  <si>
    <t>Support for databases</t>
  </si>
  <si>
    <t>Ticketing Tool</t>
  </si>
  <si>
    <t>Messaging Tool</t>
  </si>
  <si>
    <t>SIEM</t>
  </si>
  <si>
    <t>Documentation Quality</t>
  </si>
  <si>
    <t>Status Page</t>
  </si>
  <si>
    <t>Misc</t>
  </si>
  <si>
    <t>API First</t>
  </si>
  <si>
    <t>Minimal self-managed infrastructure</t>
  </si>
  <si>
    <t>Response Simulation/Testing</t>
  </si>
  <si>
    <t>Playbook Management</t>
  </si>
  <si>
    <t>Rollback Saftey Checks</t>
  </si>
  <si>
    <t>Cross-cloud responses</t>
  </si>
  <si>
    <t>Detection-as-code support</t>
  </si>
  <si>
    <t>Real near time Detection</t>
  </si>
  <si>
    <t>Anomaly Detection/ML detections</t>
  </si>
  <si>
    <t>Evidence Retention Duration</t>
  </si>
  <si>
    <t>Evidence Export</t>
  </si>
  <si>
    <t>Central account support</t>
  </si>
  <si>
    <t>Hybrid/onprem support</t>
  </si>
  <si>
    <t>Org deployment support</t>
  </si>
  <si>
    <t>IDP support</t>
  </si>
  <si>
    <t>Security Tool</t>
  </si>
  <si>
    <t>Threat Intell</t>
  </si>
  <si>
    <t>Scalability</t>
  </si>
  <si>
    <t>Customer Support</t>
  </si>
  <si>
    <t>Cost</t>
  </si>
  <si>
    <t>UX/UI</t>
  </si>
  <si>
    <t>Governance</t>
  </si>
  <si>
    <t>SOC 2</t>
  </si>
  <si>
    <t>ISO 27001</t>
  </si>
  <si>
    <t>FedRAMP</t>
  </si>
  <si>
    <t>RBAC Model</t>
  </si>
  <si>
    <t>Audit Readiness</t>
  </si>
  <si>
    <t>DR Strategy</t>
  </si>
  <si>
    <t>Usablity/Ops</t>
  </si>
  <si>
    <t>Custom Dashboards</t>
  </si>
  <si>
    <t>Custom Reporting</t>
  </si>
  <si>
    <t>Search Capability</t>
  </si>
  <si>
    <t>Legend</t>
  </si>
  <si>
    <t>Required</t>
  </si>
  <si>
    <t>Would like to have</t>
  </si>
  <si>
    <t>Sprinkles on top</t>
  </si>
  <si>
    <t>Take or leave</t>
  </si>
  <si>
    <t>Vendor Scores</t>
  </si>
  <si>
    <t>Exceeds expectations</t>
  </si>
  <si>
    <t>Meets expectations</t>
  </si>
  <si>
    <t>Meets most expectations</t>
  </si>
  <si>
    <t>Meets some expectations</t>
  </si>
  <si>
    <t>Doesn't meet expectations</t>
  </si>
  <si>
    <t>Vendor A Weighted</t>
  </si>
  <si>
    <t>Vendor B Weighted</t>
  </si>
  <si>
    <t>Vendor C 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</si>
</sst>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workbookViewId="0">
      <selection activeCell="L13" sqref="L13"/>
    </sheetView>
  </sheetViews>
  <sheetFormatPr defaultRowHeight="14.4" x14ac:dyDescent="0.3"/>
  <cols>
    <col min="1" max="1" width="19.5546875" bestFit="1" customWidth="1"/>
    <col min="2" max="2" width="55.5546875" bestFit="1" customWidth="1"/>
    <col min="3" max="3" width="10.77734375" bestFit="1" customWidth="1"/>
    <col min="5" max="6" width="8.77734375" bestFit="1" customWidth="1"/>
    <col min="7" max="7" width="17.6640625" bestFit="1" customWidth="1"/>
    <col min="8" max="9" width="17.5546875" bestFit="1" customWidth="1"/>
    <col min="12" max="12" width="16.21875" bestFit="1" customWidth="1"/>
    <col min="13" max="13" width="3.5546875" customWidth="1"/>
    <col min="15" max="15" width="23.77734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89</v>
      </c>
      <c r="H1" s="5" t="s">
        <v>90</v>
      </c>
      <c r="I1" s="5" t="s">
        <v>91</v>
      </c>
      <c r="K1" s="10" t="s">
        <v>78</v>
      </c>
      <c r="L1" s="10"/>
      <c r="M1" s="10"/>
      <c r="N1" s="10"/>
      <c r="O1" s="10"/>
    </row>
    <row r="2" spans="1:15" x14ac:dyDescent="0.3">
      <c r="A2" s="6" t="s">
        <v>25</v>
      </c>
      <c r="B2" s="2" t="s">
        <v>15</v>
      </c>
      <c r="C2" s="2">
        <v>9</v>
      </c>
      <c r="D2" s="2">
        <v>5</v>
      </c>
      <c r="E2" s="2">
        <v>4</v>
      </c>
      <c r="F2" s="2">
        <v>3</v>
      </c>
      <c r="G2" s="2">
        <f t="shared" ref="G2:G53" si="0">C2*D2</f>
        <v>45</v>
      </c>
      <c r="H2" s="2">
        <f t="shared" ref="H2:H53" si="1">C2*E2</f>
        <v>36</v>
      </c>
      <c r="I2" s="2">
        <f t="shared" ref="I2:I53" si="2">C2*F2</f>
        <v>27</v>
      </c>
      <c r="K2" s="9" t="s">
        <v>2</v>
      </c>
      <c r="L2" s="9"/>
      <c r="M2" s="3"/>
      <c r="N2" s="9" t="s">
        <v>83</v>
      </c>
      <c r="O2" s="9"/>
    </row>
    <row r="3" spans="1:15" x14ac:dyDescent="0.3">
      <c r="A3" s="7"/>
      <c r="B3" s="2" t="s">
        <v>16</v>
      </c>
      <c r="C3" s="2">
        <v>9</v>
      </c>
      <c r="D3" s="2">
        <v>5</v>
      </c>
      <c r="E3" s="2">
        <v>4</v>
      </c>
      <c r="F3" s="2">
        <v>4</v>
      </c>
      <c r="G3" s="2">
        <f t="shared" si="0"/>
        <v>45</v>
      </c>
      <c r="H3" s="2">
        <f t="shared" si="1"/>
        <v>36</v>
      </c>
      <c r="I3" s="2">
        <f t="shared" si="2"/>
        <v>36</v>
      </c>
      <c r="K3" s="2">
        <v>9</v>
      </c>
      <c r="L3" s="2" t="s">
        <v>79</v>
      </c>
      <c r="M3" s="4"/>
      <c r="N3" s="2">
        <v>1</v>
      </c>
      <c r="O3" s="2" t="s">
        <v>88</v>
      </c>
    </row>
    <row r="4" spans="1:15" x14ac:dyDescent="0.3">
      <c r="A4" s="7"/>
      <c r="B4" s="2" t="s">
        <v>17</v>
      </c>
      <c r="C4" s="2">
        <v>9</v>
      </c>
      <c r="D4" s="2">
        <v>4</v>
      </c>
      <c r="E4" s="2">
        <v>5</v>
      </c>
      <c r="F4" s="2">
        <v>3</v>
      </c>
      <c r="G4" s="2">
        <f t="shared" si="0"/>
        <v>36</v>
      </c>
      <c r="H4" s="2">
        <f t="shared" si="1"/>
        <v>45</v>
      </c>
      <c r="I4" s="2">
        <f t="shared" si="2"/>
        <v>27</v>
      </c>
      <c r="K4" s="2">
        <v>5</v>
      </c>
      <c r="L4" s="2" t="s">
        <v>80</v>
      </c>
      <c r="M4" s="4"/>
      <c r="N4" s="2">
        <v>2</v>
      </c>
      <c r="O4" s="2" t="s">
        <v>87</v>
      </c>
    </row>
    <row r="5" spans="1:15" x14ac:dyDescent="0.3">
      <c r="A5" s="7"/>
      <c r="B5" s="2" t="s">
        <v>18</v>
      </c>
      <c r="C5" s="2">
        <v>9</v>
      </c>
      <c r="D5" s="2">
        <v>5</v>
      </c>
      <c r="E5" s="2">
        <v>3</v>
      </c>
      <c r="F5" s="2">
        <v>4</v>
      </c>
      <c r="G5" s="2">
        <f t="shared" si="0"/>
        <v>45</v>
      </c>
      <c r="H5" s="2">
        <f t="shared" si="1"/>
        <v>27</v>
      </c>
      <c r="I5" s="2">
        <f t="shared" si="2"/>
        <v>36</v>
      </c>
      <c r="K5" s="2">
        <v>3</v>
      </c>
      <c r="L5" s="2" t="s">
        <v>81</v>
      </c>
      <c r="M5" s="4"/>
      <c r="N5" s="2">
        <v>3</v>
      </c>
      <c r="O5" s="2" t="s">
        <v>86</v>
      </c>
    </row>
    <row r="6" spans="1:15" x14ac:dyDescent="0.3">
      <c r="A6" s="7"/>
      <c r="B6" s="2" t="s">
        <v>19</v>
      </c>
      <c r="C6" s="2">
        <v>9</v>
      </c>
      <c r="D6" s="2">
        <v>4</v>
      </c>
      <c r="E6" s="2">
        <v>4</v>
      </c>
      <c r="F6" s="2">
        <v>3</v>
      </c>
      <c r="G6" s="2">
        <f t="shared" si="0"/>
        <v>36</v>
      </c>
      <c r="H6" s="2">
        <f t="shared" si="1"/>
        <v>36</v>
      </c>
      <c r="I6" s="2">
        <f t="shared" si="2"/>
        <v>27</v>
      </c>
      <c r="K6" s="2">
        <v>1</v>
      </c>
      <c r="L6" s="2" t="s">
        <v>82</v>
      </c>
      <c r="M6" s="4"/>
      <c r="N6" s="2">
        <v>4</v>
      </c>
      <c r="O6" s="2" t="s">
        <v>85</v>
      </c>
    </row>
    <row r="7" spans="1:15" x14ac:dyDescent="0.3">
      <c r="A7" s="7"/>
      <c r="B7" s="2" t="s">
        <v>48</v>
      </c>
      <c r="C7" s="2">
        <v>3</v>
      </c>
      <c r="D7" s="2">
        <v>2</v>
      </c>
      <c r="E7" s="2">
        <v>2</v>
      </c>
      <c r="F7" s="2">
        <v>2</v>
      </c>
      <c r="G7" s="2">
        <f t="shared" si="0"/>
        <v>6</v>
      </c>
      <c r="H7" s="2">
        <f t="shared" si="1"/>
        <v>6</v>
      </c>
      <c r="I7" s="2">
        <f t="shared" si="2"/>
        <v>6</v>
      </c>
      <c r="K7" s="2"/>
      <c r="L7" s="2"/>
      <c r="M7" s="4"/>
      <c r="N7" s="2">
        <v>5</v>
      </c>
      <c r="O7" s="2" t="s">
        <v>84</v>
      </c>
    </row>
    <row r="8" spans="1:15" x14ac:dyDescent="0.3">
      <c r="A8" s="7"/>
      <c r="B8" s="2" t="s">
        <v>49</v>
      </c>
      <c r="C8" s="2">
        <v>5</v>
      </c>
      <c r="D8" s="2">
        <v>1</v>
      </c>
      <c r="E8" s="2">
        <v>3</v>
      </c>
      <c r="F8" s="2">
        <v>3</v>
      </c>
      <c r="G8" s="2">
        <f t="shared" ref="G8:G10" si="3">C8*D8</f>
        <v>5</v>
      </c>
      <c r="H8" s="2">
        <f t="shared" ref="H8:H10" si="4">C8*E8</f>
        <v>15</v>
      </c>
      <c r="I8" s="2">
        <f t="shared" ref="I8:I10" si="5">C8*F8</f>
        <v>15</v>
      </c>
    </row>
    <row r="9" spans="1:15" x14ac:dyDescent="0.3">
      <c r="A9" s="7"/>
      <c r="B9" s="2" t="s">
        <v>50</v>
      </c>
      <c r="C9" s="2">
        <v>5</v>
      </c>
      <c r="D9" s="2">
        <v>2</v>
      </c>
      <c r="E9" s="2">
        <v>2</v>
      </c>
      <c r="F9" s="2">
        <v>4</v>
      </c>
      <c r="G9" s="2">
        <f t="shared" si="3"/>
        <v>10</v>
      </c>
      <c r="H9" s="2">
        <f t="shared" si="4"/>
        <v>10</v>
      </c>
      <c r="I9" s="2">
        <f t="shared" si="5"/>
        <v>20</v>
      </c>
    </row>
    <row r="10" spans="1:15" x14ac:dyDescent="0.3">
      <c r="A10" s="7"/>
      <c r="B10" s="2" t="s">
        <v>51</v>
      </c>
      <c r="C10" s="2">
        <v>1</v>
      </c>
      <c r="D10" s="2">
        <v>1</v>
      </c>
      <c r="E10" s="2">
        <v>1</v>
      </c>
      <c r="F10" s="2">
        <v>1</v>
      </c>
      <c r="G10" s="2">
        <f t="shared" si="3"/>
        <v>1</v>
      </c>
      <c r="H10" s="2">
        <f t="shared" si="4"/>
        <v>1</v>
      </c>
      <c r="I10" s="2">
        <f t="shared" si="5"/>
        <v>1</v>
      </c>
    </row>
    <row r="11" spans="1:15" x14ac:dyDescent="0.3">
      <c r="A11" s="7"/>
      <c r="B11" s="2" t="s">
        <v>20</v>
      </c>
      <c r="C11" s="2">
        <v>5</v>
      </c>
      <c r="D11" s="2">
        <v>3</v>
      </c>
      <c r="E11" s="2">
        <v>4</v>
      </c>
      <c r="F11" s="2">
        <v>4</v>
      </c>
      <c r="G11" s="2">
        <f t="shared" si="0"/>
        <v>15</v>
      </c>
      <c r="H11" s="2">
        <f t="shared" si="1"/>
        <v>20</v>
      </c>
      <c r="I11" s="2">
        <f t="shared" si="2"/>
        <v>20</v>
      </c>
    </row>
    <row r="12" spans="1:15" x14ac:dyDescent="0.3">
      <c r="A12" s="7"/>
      <c r="B12" s="2" t="s">
        <v>21</v>
      </c>
      <c r="C12" s="2">
        <v>5</v>
      </c>
      <c r="D12" s="2">
        <v>3</v>
      </c>
      <c r="E12" s="2">
        <v>3</v>
      </c>
      <c r="F12" s="2">
        <v>4</v>
      </c>
      <c r="G12" s="2">
        <f t="shared" si="0"/>
        <v>15</v>
      </c>
      <c r="H12" s="2">
        <f t="shared" si="1"/>
        <v>15</v>
      </c>
      <c r="I12" s="2">
        <f t="shared" si="2"/>
        <v>20</v>
      </c>
    </row>
    <row r="13" spans="1:15" x14ac:dyDescent="0.3">
      <c r="A13" s="7"/>
      <c r="B13" s="2" t="s">
        <v>22</v>
      </c>
      <c r="C13" s="2">
        <v>9</v>
      </c>
      <c r="D13" s="2">
        <v>3</v>
      </c>
      <c r="E13" s="2">
        <v>2</v>
      </c>
      <c r="F13" s="2">
        <v>4</v>
      </c>
      <c r="G13" s="2">
        <f t="shared" si="0"/>
        <v>27</v>
      </c>
      <c r="H13" s="2">
        <f t="shared" si="1"/>
        <v>18</v>
      </c>
      <c r="I13" s="2">
        <f t="shared" si="2"/>
        <v>36</v>
      </c>
    </row>
    <row r="14" spans="1:15" x14ac:dyDescent="0.3">
      <c r="A14" s="8"/>
      <c r="B14" s="2" t="s">
        <v>23</v>
      </c>
      <c r="C14" s="2">
        <v>3</v>
      </c>
      <c r="D14" s="2">
        <v>5</v>
      </c>
      <c r="E14" s="2">
        <v>1</v>
      </c>
      <c r="F14" s="2">
        <v>4</v>
      </c>
      <c r="G14" s="2">
        <f t="shared" si="0"/>
        <v>15</v>
      </c>
      <c r="H14" s="2">
        <f t="shared" si="1"/>
        <v>3</v>
      </c>
      <c r="I14" s="2">
        <f t="shared" si="2"/>
        <v>12</v>
      </c>
    </row>
    <row r="15" spans="1:15" x14ac:dyDescent="0.3">
      <c r="A15" s="6" t="s">
        <v>24</v>
      </c>
      <c r="B15" s="2" t="s">
        <v>52</v>
      </c>
      <c r="C15" s="2">
        <v>5</v>
      </c>
      <c r="D15" s="2">
        <v>3</v>
      </c>
      <c r="E15" s="2">
        <v>3</v>
      </c>
      <c r="F15" s="2">
        <v>4</v>
      </c>
      <c r="G15" s="2">
        <f t="shared" si="0"/>
        <v>15</v>
      </c>
      <c r="H15" s="2">
        <f t="shared" si="1"/>
        <v>15</v>
      </c>
      <c r="I15" s="2">
        <f t="shared" si="2"/>
        <v>20</v>
      </c>
    </row>
    <row r="16" spans="1:15" x14ac:dyDescent="0.3">
      <c r="A16" s="7"/>
      <c r="B16" s="2" t="s">
        <v>53</v>
      </c>
      <c r="C16" s="2">
        <v>9</v>
      </c>
      <c r="D16" s="2">
        <v>4</v>
      </c>
      <c r="E16" s="2">
        <v>4</v>
      </c>
      <c r="F16" s="2">
        <v>4</v>
      </c>
      <c r="G16" s="2">
        <f t="shared" si="0"/>
        <v>36</v>
      </c>
      <c r="H16" s="2">
        <f t="shared" si="1"/>
        <v>36</v>
      </c>
      <c r="I16" s="2">
        <f t="shared" si="2"/>
        <v>36</v>
      </c>
    </row>
    <row r="17" spans="1:9" x14ac:dyDescent="0.3">
      <c r="A17" s="7"/>
      <c r="B17" s="2" t="s">
        <v>54</v>
      </c>
      <c r="C17" s="2">
        <v>3</v>
      </c>
      <c r="D17" s="2">
        <v>2</v>
      </c>
      <c r="E17" s="2">
        <v>3</v>
      </c>
      <c r="F17" s="2">
        <v>3</v>
      </c>
      <c r="G17" s="2">
        <f t="shared" si="0"/>
        <v>6</v>
      </c>
      <c r="H17" s="2">
        <f t="shared" si="1"/>
        <v>9</v>
      </c>
      <c r="I17" s="2">
        <f t="shared" si="2"/>
        <v>9</v>
      </c>
    </row>
    <row r="18" spans="1:9" x14ac:dyDescent="0.3">
      <c r="A18" s="7"/>
      <c r="B18" s="2" t="s">
        <v>27</v>
      </c>
      <c r="C18" s="2">
        <v>9</v>
      </c>
      <c r="D18" s="2">
        <v>5</v>
      </c>
      <c r="E18" s="2">
        <v>5</v>
      </c>
      <c r="F18" s="2">
        <v>5</v>
      </c>
      <c r="G18" s="2">
        <f>C18*D18</f>
        <v>45</v>
      </c>
      <c r="H18" s="2">
        <f>C18*E18</f>
        <v>45</v>
      </c>
      <c r="I18" s="2">
        <f>C18*F18</f>
        <v>45</v>
      </c>
    </row>
    <row r="19" spans="1:9" x14ac:dyDescent="0.3">
      <c r="A19" s="7"/>
      <c r="B19" s="2" t="s">
        <v>28</v>
      </c>
      <c r="C19" s="2">
        <v>5</v>
      </c>
      <c r="D19" s="2">
        <v>4</v>
      </c>
      <c r="E19" s="2">
        <v>3</v>
      </c>
      <c r="F19" s="2">
        <v>5</v>
      </c>
      <c r="G19" s="2">
        <f t="shared" si="0"/>
        <v>20</v>
      </c>
      <c r="H19" s="2">
        <f t="shared" si="1"/>
        <v>15</v>
      </c>
      <c r="I19" s="2">
        <f t="shared" si="2"/>
        <v>25</v>
      </c>
    </row>
    <row r="20" spans="1:9" x14ac:dyDescent="0.3">
      <c r="A20" s="7"/>
      <c r="B20" s="2" t="s">
        <v>29</v>
      </c>
      <c r="C20" s="2">
        <v>9</v>
      </c>
      <c r="D20" s="2">
        <v>5</v>
      </c>
      <c r="E20" s="2">
        <v>5</v>
      </c>
      <c r="F20" s="2">
        <v>3</v>
      </c>
      <c r="G20" s="2">
        <f t="shared" si="0"/>
        <v>45</v>
      </c>
      <c r="H20" s="2">
        <f t="shared" si="1"/>
        <v>45</v>
      </c>
      <c r="I20" s="2">
        <f t="shared" si="2"/>
        <v>27</v>
      </c>
    </row>
    <row r="21" spans="1:9" x14ac:dyDescent="0.3">
      <c r="A21" s="7"/>
      <c r="B21" s="2" t="s">
        <v>31</v>
      </c>
      <c r="C21" s="2">
        <v>9</v>
      </c>
      <c r="D21" s="2">
        <v>5</v>
      </c>
      <c r="E21" s="2">
        <v>4</v>
      </c>
      <c r="F21" s="2">
        <v>3</v>
      </c>
      <c r="G21" s="2">
        <f t="shared" si="0"/>
        <v>45</v>
      </c>
      <c r="H21" s="2">
        <f t="shared" si="1"/>
        <v>36</v>
      </c>
      <c r="I21" s="2">
        <f t="shared" si="2"/>
        <v>27</v>
      </c>
    </row>
    <row r="22" spans="1:9" x14ac:dyDescent="0.3">
      <c r="A22" s="7"/>
      <c r="B22" s="2" t="s">
        <v>30</v>
      </c>
      <c r="C22" s="2">
        <v>5</v>
      </c>
      <c r="D22" s="2">
        <v>3</v>
      </c>
      <c r="E22" s="2">
        <v>3</v>
      </c>
      <c r="F22" s="2">
        <v>4</v>
      </c>
      <c r="G22" s="2">
        <f t="shared" si="0"/>
        <v>15</v>
      </c>
      <c r="H22" s="2">
        <f t="shared" si="1"/>
        <v>15</v>
      </c>
      <c r="I22" s="2">
        <f t="shared" si="2"/>
        <v>20</v>
      </c>
    </row>
    <row r="23" spans="1:9" x14ac:dyDescent="0.3">
      <c r="A23" s="7"/>
      <c r="B23" s="2" t="s">
        <v>33</v>
      </c>
      <c r="C23" s="2">
        <v>5</v>
      </c>
      <c r="D23" s="2">
        <v>3</v>
      </c>
      <c r="E23" s="2">
        <v>2</v>
      </c>
      <c r="F23" s="2">
        <v>5</v>
      </c>
      <c r="G23" s="2">
        <f t="shared" si="0"/>
        <v>15</v>
      </c>
      <c r="H23" s="2">
        <f t="shared" si="1"/>
        <v>10</v>
      </c>
      <c r="I23" s="2">
        <f t="shared" si="2"/>
        <v>25</v>
      </c>
    </row>
    <row r="24" spans="1:9" x14ac:dyDescent="0.3">
      <c r="A24" s="8"/>
      <c r="B24" s="2" t="s">
        <v>32</v>
      </c>
      <c r="C24" s="2">
        <v>5</v>
      </c>
      <c r="D24" s="2">
        <v>4</v>
      </c>
      <c r="E24" s="2">
        <v>3</v>
      </c>
      <c r="F24" s="2">
        <v>4</v>
      </c>
      <c r="G24" s="2">
        <f t="shared" si="0"/>
        <v>20</v>
      </c>
      <c r="H24" s="2">
        <f t="shared" si="1"/>
        <v>15</v>
      </c>
      <c r="I24" s="2">
        <f t="shared" si="2"/>
        <v>20</v>
      </c>
    </row>
    <row r="25" spans="1:9" x14ac:dyDescent="0.3">
      <c r="A25" s="6" t="s">
        <v>26</v>
      </c>
      <c r="B25" s="2" t="s">
        <v>34</v>
      </c>
      <c r="C25" s="2">
        <v>9</v>
      </c>
      <c r="D25" s="2">
        <v>5</v>
      </c>
      <c r="E25" s="2">
        <v>4</v>
      </c>
      <c r="F25" s="2">
        <v>4</v>
      </c>
      <c r="G25" s="2">
        <f t="shared" si="0"/>
        <v>45</v>
      </c>
      <c r="H25" s="2">
        <f t="shared" si="1"/>
        <v>36</v>
      </c>
      <c r="I25" s="2">
        <f t="shared" si="2"/>
        <v>36</v>
      </c>
    </row>
    <row r="26" spans="1:9" x14ac:dyDescent="0.3">
      <c r="A26" s="7"/>
      <c r="B26" s="2" t="s">
        <v>35</v>
      </c>
      <c r="C26" s="2">
        <v>9</v>
      </c>
      <c r="D26" s="2">
        <v>5</v>
      </c>
      <c r="E26" s="2">
        <v>5</v>
      </c>
      <c r="F26" s="2">
        <v>3</v>
      </c>
      <c r="G26" s="2">
        <f t="shared" si="0"/>
        <v>45</v>
      </c>
      <c r="H26" s="2">
        <f t="shared" si="1"/>
        <v>45</v>
      </c>
      <c r="I26" s="2">
        <f t="shared" si="2"/>
        <v>27</v>
      </c>
    </row>
    <row r="27" spans="1:9" x14ac:dyDescent="0.3">
      <c r="A27" s="7"/>
      <c r="B27" s="2" t="s">
        <v>36</v>
      </c>
      <c r="C27" s="2">
        <v>5</v>
      </c>
      <c r="D27" s="2">
        <v>4</v>
      </c>
      <c r="E27" s="2">
        <v>3</v>
      </c>
      <c r="F27" s="2">
        <v>3</v>
      </c>
      <c r="G27" s="2">
        <f t="shared" si="0"/>
        <v>20</v>
      </c>
      <c r="H27" s="2">
        <f t="shared" si="1"/>
        <v>15</v>
      </c>
      <c r="I27" s="2">
        <f t="shared" si="2"/>
        <v>15</v>
      </c>
    </row>
    <row r="28" spans="1:9" x14ac:dyDescent="0.3">
      <c r="A28" s="7"/>
      <c r="B28" s="2" t="s">
        <v>37</v>
      </c>
      <c r="C28" s="2">
        <v>5</v>
      </c>
      <c r="D28" s="2">
        <v>4</v>
      </c>
      <c r="E28" s="2">
        <v>3</v>
      </c>
      <c r="F28" s="2">
        <v>3</v>
      </c>
      <c r="G28" s="2">
        <f t="shared" si="0"/>
        <v>20</v>
      </c>
      <c r="H28" s="2">
        <f t="shared" si="1"/>
        <v>15</v>
      </c>
      <c r="I28" s="2">
        <f t="shared" si="2"/>
        <v>15</v>
      </c>
    </row>
    <row r="29" spans="1:9" x14ac:dyDescent="0.3">
      <c r="A29" s="7"/>
      <c r="B29" s="2" t="s">
        <v>38</v>
      </c>
      <c r="C29" s="2">
        <v>5</v>
      </c>
      <c r="D29" s="2">
        <v>4</v>
      </c>
      <c r="E29" s="2">
        <v>4</v>
      </c>
      <c r="F29" s="2">
        <v>3</v>
      </c>
      <c r="G29" s="2">
        <f t="shared" si="0"/>
        <v>20</v>
      </c>
      <c r="H29" s="2">
        <f t="shared" si="1"/>
        <v>20</v>
      </c>
      <c r="I29" s="2">
        <f t="shared" si="2"/>
        <v>15</v>
      </c>
    </row>
    <row r="30" spans="1:9" x14ac:dyDescent="0.3">
      <c r="A30" s="7"/>
      <c r="B30" s="2" t="s">
        <v>39</v>
      </c>
      <c r="C30" s="2">
        <v>5</v>
      </c>
      <c r="D30" s="2">
        <v>4</v>
      </c>
      <c r="E30" s="2">
        <v>4</v>
      </c>
      <c r="F30" s="2">
        <v>3</v>
      </c>
      <c r="G30" s="2">
        <f t="shared" si="0"/>
        <v>20</v>
      </c>
      <c r="H30" s="2">
        <f t="shared" si="1"/>
        <v>20</v>
      </c>
      <c r="I30" s="2">
        <f t="shared" si="2"/>
        <v>15</v>
      </c>
    </row>
    <row r="31" spans="1:9" x14ac:dyDescent="0.3">
      <c r="A31" s="7"/>
      <c r="B31" s="2" t="s">
        <v>55</v>
      </c>
      <c r="C31" s="2">
        <v>5</v>
      </c>
      <c r="D31" s="2">
        <v>3</v>
      </c>
      <c r="E31" s="2">
        <v>3</v>
      </c>
      <c r="F31" s="2">
        <v>3</v>
      </c>
      <c r="G31" s="2">
        <f t="shared" si="0"/>
        <v>15</v>
      </c>
      <c r="H31" s="2">
        <f t="shared" si="1"/>
        <v>15</v>
      </c>
      <c r="I31" s="2">
        <f t="shared" si="2"/>
        <v>15</v>
      </c>
    </row>
    <row r="32" spans="1:9" x14ac:dyDescent="0.3">
      <c r="A32" s="7"/>
      <c r="B32" s="2" t="s">
        <v>56</v>
      </c>
      <c r="C32" s="2">
        <v>9</v>
      </c>
      <c r="D32" s="2">
        <v>3</v>
      </c>
      <c r="E32" s="2">
        <v>4</v>
      </c>
      <c r="F32" s="2">
        <v>4</v>
      </c>
      <c r="G32" s="2">
        <f t="shared" si="0"/>
        <v>27</v>
      </c>
      <c r="H32" s="2">
        <f t="shared" ref="H32:H33" si="6">C32*E32</f>
        <v>36</v>
      </c>
      <c r="I32" s="2">
        <f t="shared" ref="I32:I33" si="7">C32*F32</f>
        <v>36</v>
      </c>
    </row>
    <row r="33" spans="1:9" x14ac:dyDescent="0.3">
      <c r="A33" s="8"/>
      <c r="B33" s="2" t="s">
        <v>57</v>
      </c>
      <c r="C33" s="2">
        <v>9</v>
      </c>
      <c r="D33" s="2">
        <v>4</v>
      </c>
      <c r="E33" s="2">
        <v>4</v>
      </c>
      <c r="F33" s="2">
        <v>4</v>
      </c>
      <c r="G33" s="2">
        <f t="shared" si="0"/>
        <v>36</v>
      </c>
      <c r="H33" s="2">
        <f t="shared" si="6"/>
        <v>36</v>
      </c>
      <c r="I33" s="2">
        <f t="shared" si="7"/>
        <v>36</v>
      </c>
    </row>
    <row r="34" spans="1:9" x14ac:dyDescent="0.3">
      <c r="A34" s="6" t="s">
        <v>6</v>
      </c>
      <c r="B34" s="2" t="s">
        <v>7</v>
      </c>
      <c r="C34" s="2">
        <v>9</v>
      </c>
      <c r="D34" s="2">
        <v>5</v>
      </c>
      <c r="E34" s="2">
        <v>5</v>
      </c>
      <c r="F34" s="2">
        <v>4</v>
      </c>
      <c r="G34" s="2">
        <f t="shared" si="0"/>
        <v>45</v>
      </c>
      <c r="H34" s="2">
        <f t="shared" si="1"/>
        <v>45</v>
      </c>
      <c r="I34" s="2">
        <f t="shared" si="2"/>
        <v>36</v>
      </c>
    </row>
    <row r="35" spans="1:9" x14ac:dyDescent="0.3">
      <c r="A35" s="7"/>
      <c r="B35" s="2" t="s">
        <v>8</v>
      </c>
      <c r="C35" s="2">
        <v>5</v>
      </c>
      <c r="D35" s="2">
        <v>4</v>
      </c>
      <c r="E35" s="2">
        <v>3</v>
      </c>
      <c r="F35" s="2">
        <v>3</v>
      </c>
      <c r="G35" s="2">
        <f t="shared" si="0"/>
        <v>20</v>
      </c>
      <c r="H35" s="2">
        <f t="shared" si="1"/>
        <v>15</v>
      </c>
      <c r="I35" s="2">
        <f t="shared" si="2"/>
        <v>15</v>
      </c>
    </row>
    <row r="36" spans="1:9" x14ac:dyDescent="0.3">
      <c r="A36" s="7"/>
      <c r="B36" s="2" t="s">
        <v>9</v>
      </c>
      <c r="C36" s="2">
        <v>9</v>
      </c>
      <c r="D36" s="2">
        <v>3</v>
      </c>
      <c r="E36" s="2">
        <v>3</v>
      </c>
      <c r="F36" s="2">
        <v>4</v>
      </c>
      <c r="G36" s="2">
        <f t="shared" si="0"/>
        <v>27</v>
      </c>
      <c r="H36" s="2">
        <f t="shared" si="1"/>
        <v>27</v>
      </c>
      <c r="I36" s="2">
        <f t="shared" si="2"/>
        <v>36</v>
      </c>
    </row>
    <row r="37" spans="1:9" x14ac:dyDescent="0.3">
      <c r="A37" s="7"/>
      <c r="B37" s="2" t="s">
        <v>10</v>
      </c>
      <c r="C37" s="2">
        <v>5</v>
      </c>
      <c r="D37" s="2">
        <v>4</v>
      </c>
      <c r="E37" s="2">
        <v>4</v>
      </c>
      <c r="F37" s="2">
        <v>3</v>
      </c>
      <c r="G37" s="2">
        <f t="shared" si="0"/>
        <v>20</v>
      </c>
      <c r="H37" s="2">
        <f t="shared" si="1"/>
        <v>20</v>
      </c>
      <c r="I37" s="2">
        <f t="shared" si="2"/>
        <v>15</v>
      </c>
    </row>
    <row r="38" spans="1:9" x14ac:dyDescent="0.3">
      <c r="A38" s="7"/>
      <c r="B38" s="2" t="s">
        <v>58</v>
      </c>
      <c r="C38" s="2">
        <v>1</v>
      </c>
      <c r="D38" s="2">
        <v>1</v>
      </c>
      <c r="E38" s="2">
        <v>1</v>
      </c>
      <c r="F38" s="2">
        <v>3</v>
      </c>
      <c r="G38" s="2">
        <f t="shared" si="0"/>
        <v>1</v>
      </c>
      <c r="H38" s="2">
        <f t="shared" si="1"/>
        <v>1</v>
      </c>
      <c r="I38" s="2">
        <f t="shared" si="2"/>
        <v>3</v>
      </c>
    </row>
    <row r="39" spans="1:9" x14ac:dyDescent="0.3">
      <c r="A39" s="7"/>
      <c r="B39" s="2" t="s">
        <v>59</v>
      </c>
      <c r="C39" s="2">
        <v>9</v>
      </c>
      <c r="D39" s="2">
        <v>3</v>
      </c>
      <c r="E39" s="2">
        <v>3</v>
      </c>
      <c r="F39" s="2">
        <v>4</v>
      </c>
      <c r="G39" s="2">
        <f t="shared" ref="G39:G40" si="8">C39*D39</f>
        <v>27</v>
      </c>
      <c r="H39" s="2">
        <f t="shared" ref="H39:H40" si="9">C39*E39</f>
        <v>27</v>
      </c>
      <c r="I39" s="2">
        <f t="shared" ref="I39:I40" si="10">C39*F39</f>
        <v>36</v>
      </c>
    </row>
    <row r="40" spans="1:9" x14ac:dyDescent="0.3">
      <c r="A40" s="8"/>
      <c r="B40" s="2" t="s">
        <v>60</v>
      </c>
      <c r="C40" s="2">
        <v>9</v>
      </c>
      <c r="D40" s="2">
        <v>4</v>
      </c>
      <c r="E40" s="2">
        <v>4</v>
      </c>
      <c r="F40" s="2">
        <v>4</v>
      </c>
      <c r="G40" s="2">
        <f t="shared" si="8"/>
        <v>36</v>
      </c>
      <c r="H40" s="2">
        <f t="shared" si="9"/>
        <v>36</v>
      </c>
      <c r="I40" s="2">
        <f t="shared" si="10"/>
        <v>36</v>
      </c>
    </row>
    <row r="41" spans="1:9" x14ac:dyDescent="0.3">
      <c r="A41" s="6" t="s">
        <v>11</v>
      </c>
      <c r="B41" s="2" t="s">
        <v>12</v>
      </c>
      <c r="C41" s="2">
        <v>9</v>
      </c>
      <c r="D41" s="2">
        <v>5</v>
      </c>
      <c r="E41" s="2">
        <v>5</v>
      </c>
      <c r="F41" s="2">
        <v>4</v>
      </c>
      <c r="G41" s="2">
        <f t="shared" si="0"/>
        <v>45</v>
      </c>
      <c r="H41" s="2">
        <f t="shared" si="1"/>
        <v>45</v>
      </c>
      <c r="I41" s="2">
        <f t="shared" si="2"/>
        <v>36</v>
      </c>
    </row>
    <row r="42" spans="1:9" x14ac:dyDescent="0.3">
      <c r="A42" s="7"/>
      <c r="B42" s="2" t="s">
        <v>40</v>
      </c>
      <c r="C42" s="2">
        <v>9</v>
      </c>
      <c r="D42" s="2">
        <v>5</v>
      </c>
      <c r="E42" s="2">
        <v>4</v>
      </c>
      <c r="F42" s="2">
        <v>3</v>
      </c>
      <c r="G42" s="2">
        <f t="shared" si="0"/>
        <v>45</v>
      </c>
      <c r="H42" s="2">
        <f t="shared" si="1"/>
        <v>36</v>
      </c>
      <c r="I42" s="2">
        <f t="shared" si="2"/>
        <v>27</v>
      </c>
    </row>
    <row r="43" spans="1:9" x14ac:dyDescent="0.3">
      <c r="A43" s="7"/>
      <c r="B43" s="2" t="s">
        <v>41</v>
      </c>
      <c r="C43" s="2">
        <v>9</v>
      </c>
      <c r="D43" s="2">
        <v>4</v>
      </c>
      <c r="E43" s="2">
        <v>5</v>
      </c>
      <c r="F43" s="2">
        <v>3</v>
      </c>
      <c r="G43" s="2">
        <f t="shared" si="0"/>
        <v>36</v>
      </c>
      <c r="H43" s="2">
        <f t="shared" si="1"/>
        <v>45</v>
      </c>
      <c r="I43" s="2">
        <f t="shared" si="2"/>
        <v>27</v>
      </c>
    </row>
    <row r="44" spans="1:9" x14ac:dyDescent="0.3">
      <c r="A44" s="7"/>
      <c r="B44" s="2" t="s">
        <v>13</v>
      </c>
      <c r="C44" s="2">
        <v>5</v>
      </c>
      <c r="D44" s="2">
        <v>4</v>
      </c>
      <c r="E44" s="2">
        <v>3</v>
      </c>
      <c r="F44" s="2">
        <v>3</v>
      </c>
      <c r="G44" s="2">
        <f t="shared" si="0"/>
        <v>20</v>
      </c>
      <c r="H44" s="2">
        <f t="shared" si="1"/>
        <v>15</v>
      </c>
      <c r="I44" s="2">
        <f t="shared" si="2"/>
        <v>15</v>
      </c>
    </row>
    <row r="45" spans="1:9" x14ac:dyDescent="0.3">
      <c r="A45" s="7"/>
      <c r="B45" s="2" t="s">
        <v>42</v>
      </c>
      <c r="C45" s="2">
        <v>1</v>
      </c>
      <c r="D45" s="2">
        <v>3</v>
      </c>
      <c r="E45" s="2">
        <v>3</v>
      </c>
      <c r="F45" s="2">
        <v>3</v>
      </c>
      <c r="G45" s="2">
        <f t="shared" si="0"/>
        <v>3</v>
      </c>
      <c r="H45" s="2">
        <f t="shared" si="1"/>
        <v>3</v>
      </c>
      <c r="I45" s="2">
        <f t="shared" si="2"/>
        <v>3</v>
      </c>
    </row>
    <row r="46" spans="1:9" x14ac:dyDescent="0.3">
      <c r="A46" s="7"/>
      <c r="B46" s="2" t="s">
        <v>62</v>
      </c>
      <c r="C46" s="2">
        <v>9</v>
      </c>
      <c r="D46" s="2">
        <v>4</v>
      </c>
      <c r="E46" s="2">
        <v>4</v>
      </c>
      <c r="F46" s="2">
        <v>4</v>
      </c>
      <c r="G46" s="2">
        <f t="shared" si="0"/>
        <v>36</v>
      </c>
      <c r="H46" s="2">
        <f t="shared" si="1"/>
        <v>36</v>
      </c>
      <c r="I46" s="2">
        <f t="shared" si="2"/>
        <v>36</v>
      </c>
    </row>
    <row r="47" spans="1:9" x14ac:dyDescent="0.3">
      <c r="A47" s="8"/>
      <c r="B47" s="2" t="s">
        <v>61</v>
      </c>
      <c r="C47" s="2">
        <v>3</v>
      </c>
      <c r="D47" s="2">
        <v>3</v>
      </c>
      <c r="E47" s="2">
        <v>3</v>
      </c>
      <c r="F47" s="2">
        <v>3</v>
      </c>
      <c r="G47" s="2">
        <f t="shared" ref="G47" si="11">C47*D47</f>
        <v>9</v>
      </c>
      <c r="H47" s="2">
        <f t="shared" ref="H47" si="12">C47*E47</f>
        <v>9</v>
      </c>
      <c r="I47" s="2">
        <f t="shared" ref="I47" si="13">C47*F47</f>
        <v>9</v>
      </c>
    </row>
    <row r="48" spans="1:9" x14ac:dyDescent="0.3">
      <c r="A48" s="6" t="s">
        <v>45</v>
      </c>
      <c r="B48" s="2" t="s">
        <v>43</v>
      </c>
      <c r="C48" s="2">
        <v>9</v>
      </c>
      <c r="D48" s="2">
        <v>5</v>
      </c>
      <c r="E48" s="2">
        <v>4</v>
      </c>
      <c r="F48" s="2">
        <v>3</v>
      </c>
      <c r="G48" s="2">
        <f t="shared" si="0"/>
        <v>45</v>
      </c>
      <c r="H48" s="2">
        <f t="shared" si="1"/>
        <v>36</v>
      </c>
      <c r="I48" s="2">
        <f t="shared" si="2"/>
        <v>27</v>
      </c>
    </row>
    <row r="49" spans="1:9" x14ac:dyDescent="0.3">
      <c r="A49" s="7"/>
      <c r="B49" s="2" t="s">
        <v>44</v>
      </c>
      <c r="C49" s="2">
        <v>5</v>
      </c>
      <c r="D49" s="2">
        <v>4</v>
      </c>
      <c r="E49" s="2">
        <v>4</v>
      </c>
      <c r="F49" s="2">
        <v>4</v>
      </c>
      <c r="G49" s="2">
        <f t="shared" si="0"/>
        <v>20</v>
      </c>
      <c r="H49" s="2">
        <f t="shared" si="1"/>
        <v>20</v>
      </c>
      <c r="I49" s="2">
        <f t="shared" si="2"/>
        <v>20</v>
      </c>
    </row>
    <row r="50" spans="1:9" x14ac:dyDescent="0.3">
      <c r="A50" s="7"/>
      <c r="B50" s="2" t="s">
        <v>46</v>
      </c>
      <c r="C50" s="2">
        <v>9</v>
      </c>
      <c r="D50" s="2">
        <v>5</v>
      </c>
      <c r="E50" s="2">
        <v>5</v>
      </c>
      <c r="F50" s="2">
        <v>3</v>
      </c>
      <c r="G50" s="2">
        <f t="shared" si="0"/>
        <v>45</v>
      </c>
      <c r="H50" s="2">
        <f t="shared" si="1"/>
        <v>45</v>
      </c>
      <c r="I50" s="2">
        <f t="shared" si="2"/>
        <v>27</v>
      </c>
    </row>
    <row r="51" spans="1:9" x14ac:dyDescent="0.3">
      <c r="A51" s="7"/>
      <c r="B51" s="2" t="s">
        <v>47</v>
      </c>
      <c r="C51" s="2">
        <v>5</v>
      </c>
      <c r="D51" s="2">
        <v>4</v>
      </c>
      <c r="E51" s="2">
        <v>3</v>
      </c>
      <c r="F51" s="2">
        <v>4</v>
      </c>
      <c r="G51" s="2">
        <f t="shared" si="0"/>
        <v>20</v>
      </c>
      <c r="H51" s="2">
        <f t="shared" si="1"/>
        <v>15</v>
      </c>
      <c r="I51" s="2">
        <f t="shared" si="2"/>
        <v>20</v>
      </c>
    </row>
    <row r="52" spans="1:9" x14ac:dyDescent="0.3">
      <c r="A52" s="7"/>
      <c r="B52" s="2" t="s">
        <v>63</v>
      </c>
      <c r="C52" s="2">
        <v>5</v>
      </c>
      <c r="D52" s="2">
        <v>4</v>
      </c>
      <c r="E52" s="2">
        <v>4</v>
      </c>
      <c r="F52" s="2">
        <v>3</v>
      </c>
      <c r="G52" s="2">
        <f t="shared" si="0"/>
        <v>20</v>
      </c>
      <c r="H52" s="2">
        <f t="shared" si="1"/>
        <v>20</v>
      </c>
      <c r="I52" s="2">
        <f t="shared" si="2"/>
        <v>15</v>
      </c>
    </row>
    <row r="53" spans="1:9" x14ac:dyDescent="0.3">
      <c r="A53" s="7"/>
      <c r="B53" s="2" t="s">
        <v>64</v>
      </c>
      <c r="C53" s="2">
        <v>9</v>
      </c>
      <c r="D53" s="2">
        <v>3</v>
      </c>
      <c r="E53" s="2">
        <v>2</v>
      </c>
      <c r="F53" s="2">
        <v>4</v>
      </c>
      <c r="G53" s="2">
        <f t="shared" si="0"/>
        <v>27</v>
      </c>
      <c r="H53" s="2">
        <f t="shared" si="1"/>
        <v>18</v>
      </c>
      <c r="I53" s="2">
        <f t="shared" si="2"/>
        <v>36</v>
      </c>
    </row>
    <row r="54" spans="1:9" x14ac:dyDescent="0.3">
      <c r="A54" s="7"/>
      <c r="B54" s="2" t="s">
        <v>65</v>
      </c>
      <c r="C54" s="2">
        <v>5</v>
      </c>
      <c r="D54" s="2">
        <v>5</v>
      </c>
      <c r="E54" s="2">
        <v>3</v>
      </c>
      <c r="F54" s="2">
        <v>3</v>
      </c>
      <c r="G54" s="2">
        <f t="shared" ref="G54:G64" si="14">C54*D54</f>
        <v>25</v>
      </c>
      <c r="H54" s="2">
        <f t="shared" ref="H54:H64" si="15">C54*E54</f>
        <v>15</v>
      </c>
      <c r="I54" s="2">
        <f t="shared" ref="I54:I64" si="16">C54*F54</f>
        <v>15</v>
      </c>
    </row>
    <row r="55" spans="1:9" x14ac:dyDescent="0.3">
      <c r="A55" s="8"/>
      <c r="B55" s="2" t="s">
        <v>66</v>
      </c>
      <c r="C55" s="2">
        <v>9</v>
      </c>
      <c r="D55" s="2">
        <v>4</v>
      </c>
      <c r="E55" s="2">
        <v>2</v>
      </c>
      <c r="F55" s="2">
        <v>5</v>
      </c>
      <c r="G55" s="2">
        <f t="shared" si="14"/>
        <v>36</v>
      </c>
      <c r="H55" s="2">
        <f t="shared" si="15"/>
        <v>18</v>
      </c>
      <c r="I55" s="2">
        <f t="shared" si="16"/>
        <v>45</v>
      </c>
    </row>
    <row r="56" spans="1:9" x14ac:dyDescent="0.3">
      <c r="A56" s="6" t="s">
        <v>67</v>
      </c>
      <c r="B56" s="2" t="s">
        <v>68</v>
      </c>
      <c r="C56" s="2">
        <v>9</v>
      </c>
      <c r="D56" s="2">
        <v>4</v>
      </c>
      <c r="E56" s="2">
        <v>4</v>
      </c>
      <c r="F56" s="2">
        <v>4</v>
      </c>
      <c r="G56" s="2">
        <f t="shared" si="14"/>
        <v>36</v>
      </c>
      <c r="H56" s="2">
        <f t="shared" si="15"/>
        <v>36</v>
      </c>
      <c r="I56" s="2">
        <f t="shared" si="16"/>
        <v>36</v>
      </c>
    </row>
    <row r="57" spans="1:9" x14ac:dyDescent="0.3">
      <c r="A57" s="7"/>
      <c r="B57" s="2" t="s">
        <v>69</v>
      </c>
      <c r="C57" s="2">
        <v>3</v>
      </c>
      <c r="D57" s="2">
        <v>1</v>
      </c>
      <c r="E57" s="2">
        <v>1</v>
      </c>
      <c r="F57" s="2">
        <v>1</v>
      </c>
      <c r="G57" s="2">
        <f t="shared" si="14"/>
        <v>3</v>
      </c>
      <c r="H57" s="2">
        <f t="shared" si="15"/>
        <v>3</v>
      </c>
      <c r="I57" s="2">
        <f t="shared" si="16"/>
        <v>3</v>
      </c>
    </row>
    <row r="58" spans="1:9" x14ac:dyDescent="0.3">
      <c r="A58" s="7"/>
      <c r="B58" s="2" t="s">
        <v>70</v>
      </c>
      <c r="C58" s="2">
        <v>3</v>
      </c>
      <c r="D58" s="2">
        <v>1</v>
      </c>
      <c r="E58" s="2">
        <v>1</v>
      </c>
      <c r="F58" s="2">
        <v>1</v>
      </c>
      <c r="G58" s="2">
        <f t="shared" si="14"/>
        <v>3</v>
      </c>
      <c r="H58" s="2">
        <f t="shared" si="15"/>
        <v>3</v>
      </c>
      <c r="I58" s="2">
        <f t="shared" si="16"/>
        <v>3</v>
      </c>
    </row>
    <row r="59" spans="1:9" x14ac:dyDescent="0.3">
      <c r="A59" s="7"/>
      <c r="B59" s="2" t="s">
        <v>71</v>
      </c>
      <c r="C59" s="2">
        <v>9</v>
      </c>
      <c r="D59" s="2">
        <v>4</v>
      </c>
      <c r="E59" s="2">
        <v>4</v>
      </c>
      <c r="F59" s="2">
        <v>4</v>
      </c>
      <c r="G59" s="2">
        <f t="shared" si="14"/>
        <v>36</v>
      </c>
      <c r="H59" s="2">
        <f t="shared" si="15"/>
        <v>36</v>
      </c>
      <c r="I59" s="2">
        <f t="shared" si="16"/>
        <v>36</v>
      </c>
    </row>
    <row r="60" spans="1:9" x14ac:dyDescent="0.3">
      <c r="A60" s="7"/>
      <c r="B60" s="2" t="s">
        <v>72</v>
      </c>
      <c r="C60" s="2">
        <v>5</v>
      </c>
      <c r="D60" s="2">
        <v>2</v>
      </c>
      <c r="E60" s="2">
        <v>4</v>
      </c>
      <c r="F60" s="2">
        <v>4</v>
      </c>
      <c r="G60" s="2">
        <f t="shared" si="14"/>
        <v>10</v>
      </c>
      <c r="H60" s="2">
        <f t="shared" si="15"/>
        <v>20</v>
      </c>
      <c r="I60" s="2">
        <f t="shared" si="16"/>
        <v>20</v>
      </c>
    </row>
    <row r="61" spans="1:9" x14ac:dyDescent="0.3">
      <c r="A61" s="8"/>
      <c r="B61" s="2" t="s">
        <v>73</v>
      </c>
      <c r="C61" s="2">
        <v>9</v>
      </c>
      <c r="D61" s="2">
        <v>2</v>
      </c>
      <c r="E61" s="2">
        <v>4</v>
      </c>
      <c r="F61" s="2">
        <v>4</v>
      </c>
      <c r="G61" s="2">
        <f t="shared" si="14"/>
        <v>18</v>
      </c>
      <c r="H61" s="2">
        <f t="shared" si="15"/>
        <v>36</v>
      </c>
      <c r="I61" s="2">
        <f t="shared" si="16"/>
        <v>36</v>
      </c>
    </row>
    <row r="62" spans="1:9" x14ac:dyDescent="0.3">
      <c r="A62" s="6" t="s">
        <v>74</v>
      </c>
      <c r="B62" s="2" t="s">
        <v>75</v>
      </c>
      <c r="C62" s="2">
        <v>5</v>
      </c>
      <c r="D62" s="2">
        <v>4</v>
      </c>
      <c r="E62" s="2">
        <v>4</v>
      </c>
      <c r="F62" s="2">
        <v>4</v>
      </c>
      <c r="G62" s="2">
        <f t="shared" si="14"/>
        <v>20</v>
      </c>
      <c r="H62" s="2">
        <f t="shared" si="15"/>
        <v>20</v>
      </c>
      <c r="I62" s="2">
        <f t="shared" si="16"/>
        <v>20</v>
      </c>
    </row>
    <row r="63" spans="1:9" x14ac:dyDescent="0.3">
      <c r="A63" s="7"/>
      <c r="B63" s="2" t="s">
        <v>76</v>
      </c>
      <c r="C63" s="2">
        <v>5</v>
      </c>
      <c r="D63" s="2">
        <v>4</v>
      </c>
      <c r="E63" s="2">
        <v>4</v>
      </c>
      <c r="F63" s="2">
        <v>4</v>
      </c>
      <c r="G63" s="2">
        <f t="shared" si="14"/>
        <v>20</v>
      </c>
      <c r="H63" s="2">
        <f t="shared" si="15"/>
        <v>20</v>
      </c>
      <c r="I63" s="2">
        <f t="shared" si="16"/>
        <v>20</v>
      </c>
    </row>
    <row r="64" spans="1:9" x14ac:dyDescent="0.3">
      <c r="A64" s="8"/>
      <c r="B64" s="2" t="s">
        <v>77</v>
      </c>
      <c r="C64" s="2">
        <v>9</v>
      </c>
      <c r="D64" s="2">
        <v>3</v>
      </c>
      <c r="E64" s="2">
        <v>5</v>
      </c>
      <c r="F64" s="2">
        <v>5</v>
      </c>
      <c r="G64" s="2">
        <f t="shared" si="14"/>
        <v>27</v>
      </c>
      <c r="H64" s="2">
        <f t="shared" si="15"/>
        <v>45</v>
      </c>
      <c r="I64" s="2">
        <f t="shared" si="16"/>
        <v>45</v>
      </c>
    </row>
    <row r="65" spans="1:9" x14ac:dyDescent="0.3">
      <c r="A65" s="2" t="s">
        <v>14</v>
      </c>
      <c r="B65" s="4"/>
      <c r="C65" s="4"/>
      <c r="D65" s="4"/>
      <c r="E65" s="4"/>
      <c r="F65" s="4"/>
      <c r="G65" s="2">
        <f>SUM(G2:G53)</f>
        <v>1358</v>
      </c>
      <c r="H65" s="2">
        <f>SUM(H2:H53)</f>
        <v>1261</v>
      </c>
      <c r="I65" s="2">
        <f>SUM(I2:I53)</f>
        <v>1222</v>
      </c>
    </row>
  </sheetData>
  <mergeCells count="11">
    <mergeCell ref="A48:A55"/>
    <mergeCell ref="A56:A61"/>
    <mergeCell ref="A62:A64"/>
    <mergeCell ref="K2:L2"/>
    <mergeCell ref="K1:O1"/>
    <mergeCell ref="N2:O2"/>
    <mergeCell ref="A2:A14"/>
    <mergeCell ref="A15:A24"/>
    <mergeCell ref="A25:A33"/>
    <mergeCell ref="A34:A40"/>
    <mergeCell ref="A41:A4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2025-11-02T03:30:09Z</dcterms:created>
  <dcterms:modified xsi:type="dcterms:W3CDTF">2025-11-02T03:33:25Z</dcterms:modified>
</cp:coreProperties>
</file>